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Rahul\ExcelR\EXCEL\Assignment\"/>
    </mc:Choice>
  </mc:AlternateContent>
  <xr:revisionPtr revIDLastSave="0" documentId="13_ncr:1_{7DB9B530-8D14-4349-BA94-6943824BE21C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1" sheetId="1" r:id="rId1"/>
    <sheet name="Macro" sheetId="4" r:id="rId2"/>
    <sheet name="2" sheetId="2" r:id="rId3"/>
    <sheet name="NewJoineeDetails" sheetId="3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4" l="1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J9" i="4"/>
  <c r="H9" i="4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<sst xmlns="http://schemas.openxmlformats.org/spreadsheetml/2006/main" count="122" uniqueCount="43">
  <si>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</si>
  <si>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</si>
  <si>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</si>
  <si>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</si>
  <si>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</si>
  <si>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</si>
  <si>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</si>
  <si>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</si>
  <si>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</si>
  <si>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</si>
  <si>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</si>
  <si>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</si>
  <si>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</si>
  <si>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</si>
  <si>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</si>
  <si>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</si>
  <si>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</si>
  <si>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</si>
  <si>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</si>
  <si>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</si>
  <si>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</si>
  <si>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Name</t>
  </si>
  <si>
    <t>Date of Birth</t>
  </si>
  <si>
    <t>Location</t>
  </si>
  <si>
    <t>Contact no</t>
  </si>
  <si>
    <t>Email Id</t>
  </si>
  <si>
    <t>Position</t>
  </si>
  <si>
    <t>Rahul Sutar</t>
  </si>
  <si>
    <t>Trainee</t>
  </si>
  <si>
    <t>Pune</t>
  </si>
  <si>
    <t>abc@gmail.com</t>
  </si>
  <si>
    <t>Software Engineer</t>
  </si>
  <si>
    <t>Rohit Sutar</t>
  </si>
  <si>
    <t>Solapur</t>
  </si>
  <si>
    <t>xyz@gmail.com</t>
  </si>
  <si>
    <t xml:space="preserve">John </t>
  </si>
  <si>
    <t>xyz</t>
  </si>
  <si>
    <t>abcd@gmail.com</t>
  </si>
  <si>
    <t>Assistant Manager</t>
  </si>
  <si>
    <t>abc</t>
  </si>
  <si>
    <t>Vikram</t>
  </si>
  <si>
    <t>vikisingh.pawar@gmail.com</t>
  </si>
  <si>
    <t>Sr. Software Engineer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</si>
</sst>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0.00&quot;M&quot;"/>
  </numFmts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164" fontId="2" fillId="0" borderId="1" xfId="0" applyNumberFormat="1" applyFont="1" applyBorder="1" applyAlignment="1">
      <alignment horizontal="left" vertical="center"/>
    </xf>
    <xf numFmtId="0" fontId="3" fillId="0" borderId="1" xfId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0" fillId="5" borderId="1" xfId="0" applyFill="1" applyBorder="1"/>
    <xf numFmtId="0" fontId="5" fillId="4" borderId="1" xfId="0" applyFont="1" applyFill="1" applyBorder="1"/>
    <xf numFmtId="0" fontId="0" fillId="0" borderId="0" xfId="0"/>
    <xf numFmtId="165" fontId="0" fillId="5" borderId="1" xfId="0" applyNumberFormat="1" applyFill="1" applyBorder="1"/>
    <xf numFmtId="0" fontId="0" fillId="5" borderId="2" xfId="0" applyFill="1" applyBorder="1"/>
    <xf numFmtId="165" fontId="0" fillId="5" borderId="2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365760</xdr:colOff>
      <xdr:row>9</xdr:row>
      <xdr:rowOff>129540</xdr:rowOff>
    </xdr:from>
    <xdr:to>
      <xdr:col>14</xdr:col>
      <xdr:colOff>304800</xdr:colOff>
      <xdr:row>12</xdr:row>
      <xdr:rowOff>167640</xdr:rowOff>
    </xdr:to>
    <xdr:sp macro="[0]!Q_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929B3BC-D46B-440C-B70B-07DEE32FD7E5}"/>
            </a:ext>
          </a:extLst>
        </xdr:cNvPr>
        <xdr:cNvSpPr/>
      </xdr:nvSpPr>
      <xdr:spPr>
        <a:xfrm>
          <a:off x="9540240" y="1775460"/>
          <a:ext cx="1767840" cy="5867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/>
            <a:t>Past Format</a:t>
          </a:r>
          <a:endParaRPr lang="en-US" sz="11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4</xdr:row>
      <xdr:rowOff>137160</xdr:rowOff>
    </xdr:from>
    <xdr:to>
      <xdr:col>7</xdr:col>
      <xdr:colOff>510540</xdr:colOff>
      <xdr:row>8</xdr:row>
      <xdr:rowOff>114300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C4E6DA7-7D28-4FF4-9016-ACED8C3F18AB}"/>
            </a:ext>
          </a:extLst>
        </xdr:cNvPr>
        <xdr:cNvSpPr/>
      </xdr:nvSpPr>
      <xdr:spPr>
        <a:xfrm>
          <a:off x="670560" y="868680"/>
          <a:ext cx="6949440" cy="70866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New Joinee Form</a:t>
          </a:r>
          <a:endParaRPr lang="en-US" sz="1100"/>
        </a:p>
      </xdr:txBody>
    </xdr:sp>
    <xdr:clientData/>
  </xdr:twoCellAnchor>
  <xdr:twoCellAnchor>
    <xdr:from>
      <xdr:col>3</xdr:col>
      <xdr:colOff>350520</xdr:colOff>
      <xdr:row>24</xdr:row>
      <xdr:rowOff>30480</xdr:rowOff>
    </xdr:from>
    <xdr:to>
      <xdr:col>3</xdr:col>
      <xdr:colOff>2065020</xdr:colOff>
      <xdr:row>27</xdr:row>
      <xdr:rowOff>38100</xdr:rowOff>
    </xdr:to>
    <xdr:sp macro="[0]!NewJoineeRecor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4ED57A-E4A4-4302-B7CD-BF5D69EC19CF}"/>
            </a:ext>
          </a:extLst>
        </xdr:cNvPr>
        <xdr:cNvSpPr/>
      </xdr:nvSpPr>
      <xdr:spPr>
        <a:xfrm>
          <a:off x="3185160" y="5341620"/>
          <a:ext cx="1714500" cy="55626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Submit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abcd@gmail.com" TargetMode="External"/><Relationship Id="rId2" Type="http://schemas.openxmlformats.org/officeDocument/2006/relationships/hyperlink" Target="mailto:xyz@gmail.com" TargetMode="External"/><Relationship Id="rId1" Type="http://schemas.openxmlformats.org/officeDocument/2006/relationships/hyperlink" Target="mailto:abc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vikisingh.pawar@gmail.com" TargetMode="External"/><Relationship Id="rId4" Type="http://schemas.openxmlformats.org/officeDocument/2006/relationships/hyperlink" Target="mailto:xyz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J42"/>
  <sheetViews>
    <sheetView workbookViewId="0">
      <selection activeCell="M16" sqref="M16"/>
    </sheetView>
  </sheetViews>
  <sheetFormatPr defaultRowHeight="14.4" x14ac:dyDescent="0.3"/>
  <cols>
    <col min="4" max="4" width="12" bestFit="1" customWidth="1"/>
    <col min="5" max="5" width="18" bestFit="1" customWidth="1"/>
    <col min="6" max="6" width="9.21875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s="9" t="s">
        <v>3</v>
      </c>
      <c r="D8" s="9" t="s">
        <v>4</v>
      </c>
      <c r="E8" s="9" t="s">
        <v>11</v>
      </c>
      <c r="F8" s="9" t="s">
        <v>12</v>
      </c>
      <c r="G8" s="9" t="s">
        <v>13</v>
      </c>
      <c r="H8" s="9" t="s">
        <v>14</v>
      </c>
      <c r="I8" s="9" t="s">
        <v>15</v>
      </c>
      <c r="J8" s="9" t="s">
        <v>10</v>
      </c>
    </row>
    <row r="9" spans="3:10" x14ac:dyDescent="0.3">
      <c r="C9" s="8">
        <v>20847</v>
      </c>
      <c r="D9" s="8" t="s">
        <v>5</v>
      </c>
      <c r="E9" s="8">
        <v>4</v>
      </c>
      <c r="F9" s="11">
        <v>2.84</v>
      </c>
      <c r="G9" s="11">
        <v>0.93</v>
      </c>
      <c r="H9" s="11">
        <f>$E9*$F9</f>
        <v>11.36</v>
      </c>
      <c r="I9" s="11">
        <v>0.54</v>
      </c>
      <c r="J9" s="11">
        <f>($E9*$I9)-$G9</f>
        <v>1.23</v>
      </c>
    </row>
    <row r="10" spans="3:10" x14ac:dyDescent="0.3">
      <c r="C10" s="8">
        <v>20228</v>
      </c>
      <c r="D10" s="8" t="s">
        <v>6</v>
      </c>
      <c r="E10" s="8">
        <v>12</v>
      </c>
      <c r="F10" s="11">
        <v>500.98</v>
      </c>
      <c r="G10" s="11">
        <v>26</v>
      </c>
      <c r="H10" s="11">
        <f t="shared" ref="H10:H41" si="0">$E10*$F10</f>
        <v>6011.76</v>
      </c>
      <c r="I10" s="11">
        <v>0.6</v>
      </c>
      <c r="J10" s="11">
        <f t="shared" ref="J10:J41" si="1">($E10*$I10)-$G10</f>
        <v>-18.8</v>
      </c>
    </row>
    <row r="11" spans="3:10" x14ac:dyDescent="0.3">
      <c r="C11" s="8">
        <v>21776</v>
      </c>
      <c r="D11" s="8" t="s">
        <v>7</v>
      </c>
      <c r="E11" s="8">
        <v>22</v>
      </c>
      <c r="F11" s="11">
        <v>9.48</v>
      </c>
      <c r="G11" s="11">
        <v>7.29</v>
      </c>
      <c r="H11" s="11">
        <f t="shared" si="0"/>
        <v>208.56</v>
      </c>
      <c r="I11" s="11">
        <v>0.45</v>
      </c>
      <c r="J11" s="11">
        <f t="shared" si="1"/>
        <v>2.6100000000000003</v>
      </c>
    </row>
    <row r="12" spans="3:10" x14ac:dyDescent="0.3">
      <c r="C12" s="8">
        <v>24844</v>
      </c>
      <c r="D12" s="8" t="s">
        <v>8</v>
      </c>
      <c r="E12" s="8">
        <v>16</v>
      </c>
      <c r="F12" s="11">
        <v>78.69</v>
      </c>
      <c r="G12" s="11">
        <v>19.989999999999998</v>
      </c>
      <c r="H12" s="11">
        <f t="shared" si="0"/>
        <v>1259.04</v>
      </c>
      <c r="I12" s="11">
        <v>0.43</v>
      </c>
      <c r="J12" s="11">
        <f t="shared" si="1"/>
        <v>-13.11</v>
      </c>
    </row>
    <row r="13" spans="3:10" x14ac:dyDescent="0.3">
      <c r="C13" s="8">
        <v>24846</v>
      </c>
      <c r="D13" s="8" t="s">
        <v>8</v>
      </c>
      <c r="E13" s="8">
        <v>7</v>
      </c>
      <c r="F13" s="11">
        <v>3.28</v>
      </c>
      <c r="G13" s="11">
        <v>2.31</v>
      </c>
      <c r="H13" s="11">
        <f t="shared" si="0"/>
        <v>22.959999999999997</v>
      </c>
      <c r="I13" s="11">
        <v>0.56000000000000005</v>
      </c>
      <c r="J13" s="11">
        <f t="shared" si="1"/>
        <v>1.6100000000000003</v>
      </c>
    </row>
    <row r="14" spans="3:10" x14ac:dyDescent="0.3">
      <c r="C14" s="8">
        <v>24847</v>
      </c>
      <c r="D14" s="8" t="s">
        <v>8</v>
      </c>
      <c r="E14" s="8">
        <v>4</v>
      </c>
      <c r="F14" s="11">
        <v>3.28</v>
      </c>
      <c r="G14" s="11">
        <v>4.2</v>
      </c>
      <c r="H14" s="11">
        <f t="shared" si="0"/>
        <v>13.12</v>
      </c>
      <c r="I14" s="11">
        <v>0.56000000000000005</v>
      </c>
      <c r="J14" s="11">
        <f t="shared" si="1"/>
        <v>-1.96</v>
      </c>
    </row>
    <row r="15" spans="3:10" x14ac:dyDescent="0.3">
      <c r="C15" s="8">
        <v>24848</v>
      </c>
      <c r="D15" s="8" t="s">
        <v>8</v>
      </c>
      <c r="E15" s="8">
        <v>4</v>
      </c>
      <c r="F15" s="11">
        <v>3.58</v>
      </c>
      <c r="G15" s="11">
        <v>1.63</v>
      </c>
      <c r="H15" s="11">
        <f t="shared" si="0"/>
        <v>14.32</v>
      </c>
      <c r="I15" s="11">
        <v>0.36</v>
      </c>
      <c r="J15" s="11">
        <f t="shared" si="1"/>
        <v>-0.18999999999999995</v>
      </c>
    </row>
    <row r="16" spans="3:10" x14ac:dyDescent="0.3">
      <c r="C16" s="8">
        <v>18181</v>
      </c>
      <c r="D16" s="8" t="s">
        <v>7</v>
      </c>
      <c r="E16" s="8">
        <v>7</v>
      </c>
      <c r="F16" s="11">
        <v>4.42</v>
      </c>
      <c r="G16" s="11">
        <v>4.99</v>
      </c>
      <c r="H16" s="11">
        <f t="shared" si="0"/>
        <v>30.939999999999998</v>
      </c>
      <c r="I16" s="11">
        <v>0.38</v>
      </c>
      <c r="J16" s="11">
        <f t="shared" si="1"/>
        <v>-2.33</v>
      </c>
    </row>
    <row r="17" spans="3:10" x14ac:dyDescent="0.3">
      <c r="C17" s="8">
        <v>20925</v>
      </c>
      <c r="D17" s="8" t="s">
        <v>8</v>
      </c>
      <c r="E17" s="8">
        <v>10</v>
      </c>
      <c r="F17" s="11">
        <v>35.94</v>
      </c>
      <c r="G17" s="11">
        <v>6.66</v>
      </c>
      <c r="H17" s="11">
        <f t="shared" si="0"/>
        <v>359.4</v>
      </c>
      <c r="I17" s="11">
        <v>0.4</v>
      </c>
      <c r="J17" s="11">
        <f t="shared" si="1"/>
        <v>-2.66</v>
      </c>
    </row>
    <row r="18" spans="3:10" x14ac:dyDescent="0.3">
      <c r="C18" s="8">
        <v>26267</v>
      </c>
      <c r="D18" s="8" t="s">
        <v>5</v>
      </c>
      <c r="E18" s="8">
        <v>6</v>
      </c>
      <c r="F18" s="11">
        <v>2.98</v>
      </c>
      <c r="G18" s="11">
        <v>1.58</v>
      </c>
      <c r="H18" s="11">
        <f t="shared" si="0"/>
        <v>17.88</v>
      </c>
      <c r="I18" s="11">
        <v>0.39</v>
      </c>
      <c r="J18" s="11">
        <f t="shared" si="1"/>
        <v>0.75999999999999979</v>
      </c>
    </row>
    <row r="19" spans="3:10" x14ac:dyDescent="0.3">
      <c r="C19" s="8">
        <v>26268</v>
      </c>
      <c r="D19" s="8" t="s">
        <v>5</v>
      </c>
      <c r="E19" s="8">
        <v>10</v>
      </c>
      <c r="F19" s="11">
        <v>115.99</v>
      </c>
      <c r="G19" s="11">
        <v>2.5</v>
      </c>
      <c r="H19" s="11">
        <f t="shared" si="0"/>
        <v>1159.8999999999999</v>
      </c>
      <c r="I19" s="11">
        <v>0.55000000000000004</v>
      </c>
      <c r="J19" s="11">
        <f t="shared" si="1"/>
        <v>3</v>
      </c>
    </row>
    <row r="20" spans="3:10" x14ac:dyDescent="0.3">
      <c r="C20" s="8">
        <v>23890</v>
      </c>
      <c r="D20" s="8" t="s">
        <v>5</v>
      </c>
      <c r="E20" s="8">
        <v>17</v>
      </c>
      <c r="F20" s="11">
        <v>26.48</v>
      </c>
      <c r="G20" s="11">
        <v>6.93</v>
      </c>
      <c r="H20" s="11">
        <f t="shared" si="0"/>
        <v>450.16</v>
      </c>
      <c r="I20" s="11">
        <v>0.49</v>
      </c>
      <c r="J20" s="11">
        <f t="shared" si="1"/>
        <v>1.4000000000000004</v>
      </c>
    </row>
    <row r="21" spans="3:10" x14ac:dyDescent="0.3">
      <c r="C21" s="8">
        <v>24063</v>
      </c>
      <c r="D21" s="8" t="s">
        <v>6</v>
      </c>
      <c r="E21" s="8">
        <v>18</v>
      </c>
      <c r="F21" s="11">
        <v>12.99</v>
      </c>
      <c r="G21" s="11">
        <v>9.44</v>
      </c>
      <c r="H21" s="11">
        <f t="shared" si="0"/>
        <v>233.82</v>
      </c>
      <c r="I21" s="11">
        <v>0.39</v>
      </c>
      <c r="J21" s="11">
        <f t="shared" si="1"/>
        <v>-2.419999999999999</v>
      </c>
    </row>
    <row r="22" spans="3:10" x14ac:dyDescent="0.3">
      <c r="C22" s="8">
        <v>5890</v>
      </c>
      <c r="D22" s="8" t="s">
        <v>5</v>
      </c>
      <c r="E22" s="8">
        <v>70</v>
      </c>
      <c r="F22" s="11">
        <v>26.48</v>
      </c>
      <c r="G22" s="11">
        <v>6.93</v>
      </c>
      <c r="H22" s="11">
        <f t="shared" si="0"/>
        <v>1853.6000000000001</v>
      </c>
      <c r="I22" s="11">
        <v>0.49</v>
      </c>
      <c r="J22" s="11">
        <f t="shared" si="1"/>
        <v>27.369999999999997</v>
      </c>
    </row>
    <row r="23" spans="3:10" x14ac:dyDescent="0.3">
      <c r="C23" s="8">
        <v>6062</v>
      </c>
      <c r="D23" s="8" t="s">
        <v>6</v>
      </c>
      <c r="E23" s="8">
        <v>58</v>
      </c>
      <c r="F23" s="11">
        <v>5</v>
      </c>
      <c r="G23" s="11">
        <v>3.39</v>
      </c>
      <c r="H23" s="11">
        <f t="shared" si="0"/>
        <v>290</v>
      </c>
      <c r="I23" s="11">
        <v>0.37</v>
      </c>
      <c r="J23" s="11">
        <f t="shared" si="1"/>
        <v>18.07</v>
      </c>
    </row>
    <row r="24" spans="3:10" x14ac:dyDescent="0.3">
      <c r="C24" s="8">
        <v>6063</v>
      </c>
      <c r="D24" s="8" t="s">
        <v>6</v>
      </c>
      <c r="E24" s="8">
        <v>71</v>
      </c>
      <c r="F24" s="11">
        <v>12.99</v>
      </c>
      <c r="G24" s="11">
        <v>9.44</v>
      </c>
      <c r="H24" s="11">
        <f t="shared" si="0"/>
        <v>922.29</v>
      </c>
      <c r="I24" s="11">
        <v>0.39</v>
      </c>
      <c r="J24" s="11">
        <f t="shared" si="1"/>
        <v>18.25</v>
      </c>
    </row>
    <row r="25" spans="3:10" x14ac:dyDescent="0.3">
      <c r="C25" s="8">
        <v>20631</v>
      </c>
      <c r="D25" s="8" t="s">
        <v>5</v>
      </c>
      <c r="E25" s="8">
        <v>1</v>
      </c>
      <c r="F25" s="11">
        <v>55.48</v>
      </c>
      <c r="G25" s="11">
        <v>14.3</v>
      </c>
      <c r="H25" s="11">
        <f t="shared" si="0"/>
        <v>55.48</v>
      </c>
      <c r="I25" s="11">
        <v>0.37</v>
      </c>
      <c r="J25" s="11">
        <f t="shared" si="1"/>
        <v>-13.930000000000001</v>
      </c>
    </row>
    <row r="26" spans="3:10" x14ac:dyDescent="0.3">
      <c r="C26" s="8">
        <v>20632</v>
      </c>
      <c r="D26" s="8" t="s">
        <v>5</v>
      </c>
      <c r="E26" s="8">
        <v>1</v>
      </c>
      <c r="F26" s="11">
        <v>1.68</v>
      </c>
      <c r="G26" s="11">
        <v>1.57</v>
      </c>
      <c r="H26" s="11">
        <f t="shared" si="0"/>
        <v>1.68</v>
      </c>
      <c r="I26" s="11">
        <v>0.59</v>
      </c>
      <c r="J26" s="11">
        <f t="shared" si="1"/>
        <v>-0.98000000000000009</v>
      </c>
    </row>
    <row r="27" spans="3:10" x14ac:dyDescent="0.3">
      <c r="C27" s="8">
        <v>23967</v>
      </c>
      <c r="D27" s="8" t="s">
        <v>6</v>
      </c>
      <c r="E27" s="8">
        <v>12</v>
      </c>
      <c r="F27" s="11">
        <v>4.1399999999999997</v>
      </c>
      <c r="G27" s="11">
        <v>6.6</v>
      </c>
      <c r="H27" s="11">
        <f t="shared" si="0"/>
        <v>49.679999999999993</v>
      </c>
      <c r="I27" s="11">
        <v>0.49</v>
      </c>
      <c r="J27" s="11">
        <f t="shared" si="1"/>
        <v>-0.71999999999999975</v>
      </c>
    </row>
    <row r="28" spans="3:10" x14ac:dyDescent="0.3">
      <c r="C28" s="8">
        <v>23509</v>
      </c>
      <c r="D28" s="8" t="s">
        <v>5</v>
      </c>
      <c r="E28" s="8">
        <v>13</v>
      </c>
      <c r="F28" s="11">
        <v>34.99</v>
      </c>
      <c r="G28" s="11">
        <v>7.73</v>
      </c>
      <c r="H28" s="11">
        <f t="shared" si="0"/>
        <v>454.87</v>
      </c>
      <c r="I28" s="11">
        <v>0.59</v>
      </c>
      <c r="J28" s="11">
        <f t="shared" si="1"/>
        <v>-6.0000000000000497E-2</v>
      </c>
    </row>
    <row r="29" spans="3:10" x14ac:dyDescent="0.3">
      <c r="C29" s="8">
        <v>23612</v>
      </c>
      <c r="D29" s="8" t="s">
        <v>5</v>
      </c>
      <c r="E29" s="8">
        <v>2</v>
      </c>
      <c r="F29" s="11">
        <v>17.98</v>
      </c>
      <c r="G29" s="11">
        <v>8.51</v>
      </c>
      <c r="H29" s="11">
        <f t="shared" si="0"/>
        <v>35.96</v>
      </c>
      <c r="I29" s="11">
        <v>0.4</v>
      </c>
      <c r="J29" s="11">
        <f t="shared" si="1"/>
        <v>-7.71</v>
      </c>
    </row>
    <row r="30" spans="3:10" x14ac:dyDescent="0.3">
      <c r="C30" s="8">
        <v>23278</v>
      </c>
      <c r="D30" s="8" t="s">
        <v>8</v>
      </c>
      <c r="E30" s="8">
        <v>8</v>
      </c>
      <c r="F30" s="11">
        <v>125.99</v>
      </c>
      <c r="G30" s="11">
        <v>7.69</v>
      </c>
      <c r="H30" s="11">
        <f t="shared" si="0"/>
        <v>1007.92</v>
      </c>
      <c r="I30" s="11">
        <v>0.59</v>
      </c>
      <c r="J30" s="11">
        <f t="shared" si="1"/>
        <v>-2.9700000000000006</v>
      </c>
    </row>
    <row r="31" spans="3:10" x14ac:dyDescent="0.3">
      <c r="C31" s="8">
        <v>19355</v>
      </c>
      <c r="D31" s="8" t="s">
        <v>9</v>
      </c>
      <c r="E31" s="8">
        <v>22</v>
      </c>
      <c r="F31" s="11">
        <v>205.99</v>
      </c>
      <c r="G31" s="11">
        <v>8.99</v>
      </c>
      <c r="H31" s="11">
        <f t="shared" si="0"/>
        <v>4531.7800000000007</v>
      </c>
      <c r="I31" s="11">
        <v>0.56000000000000005</v>
      </c>
      <c r="J31" s="11">
        <f t="shared" si="1"/>
        <v>3.33</v>
      </c>
    </row>
    <row r="32" spans="3:10" x14ac:dyDescent="0.3">
      <c r="C32" s="8">
        <v>23654</v>
      </c>
      <c r="D32" s="8" t="s">
        <v>6</v>
      </c>
      <c r="E32" s="8">
        <v>13</v>
      </c>
      <c r="F32" s="11">
        <v>4.24</v>
      </c>
      <c r="G32" s="11">
        <v>5.41</v>
      </c>
      <c r="H32" s="11">
        <f t="shared" si="0"/>
        <v>55.120000000000005</v>
      </c>
      <c r="I32" s="11">
        <v>0.35</v>
      </c>
      <c r="J32" s="11">
        <f t="shared" si="1"/>
        <v>-0.86000000000000032</v>
      </c>
    </row>
    <row r="33" spans="3:10" x14ac:dyDescent="0.3">
      <c r="C33" s="8">
        <v>23655</v>
      </c>
      <c r="D33" s="8" t="s">
        <v>6</v>
      </c>
      <c r="E33" s="8">
        <v>18</v>
      </c>
      <c r="F33" s="11">
        <v>2.94</v>
      </c>
      <c r="G33" s="11">
        <v>0.7</v>
      </c>
      <c r="H33" s="11">
        <f t="shared" si="0"/>
        <v>52.92</v>
      </c>
      <c r="I33" s="11">
        <v>0.57999999999999996</v>
      </c>
      <c r="J33" s="11">
        <f t="shared" si="1"/>
        <v>9.74</v>
      </c>
    </row>
    <row r="34" spans="3:10" x14ac:dyDescent="0.3">
      <c r="C34" s="8">
        <v>25933</v>
      </c>
      <c r="D34" s="8" t="s">
        <v>5</v>
      </c>
      <c r="E34" s="8">
        <v>6</v>
      </c>
      <c r="F34" s="11">
        <v>99.99</v>
      </c>
      <c r="G34" s="11">
        <v>19.989999999999998</v>
      </c>
      <c r="H34" s="11">
        <f t="shared" si="0"/>
        <v>599.93999999999994</v>
      </c>
      <c r="I34" s="11">
        <v>0.52</v>
      </c>
      <c r="J34" s="11">
        <f t="shared" si="1"/>
        <v>-16.869999999999997</v>
      </c>
    </row>
    <row r="35" spans="3:10" x14ac:dyDescent="0.3">
      <c r="C35" s="8">
        <v>20697</v>
      </c>
      <c r="D35" s="8" t="s">
        <v>8</v>
      </c>
      <c r="E35" s="8">
        <v>6</v>
      </c>
      <c r="F35" s="11">
        <v>115.99</v>
      </c>
      <c r="G35" s="11">
        <v>2.5</v>
      </c>
      <c r="H35" s="11">
        <f t="shared" si="0"/>
        <v>695.93999999999994</v>
      </c>
      <c r="I35" s="11">
        <v>0.56999999999999995</v>
      </c>
      <c r="J35" s="11">
        <f t="shared" si="1"/>
        <v>0.91999999999999993</v>
      </c>
    </row>
    <row r="36" spans="3:10" x14ac:dyDescent="0.3">
      <c r="C36" s="8">
        <v>20698</v>
      </c>
      <c r="D36" s="8" t="s">
        <v>8</v>
      </c>
      <c r="E36" s="8">
        <v>1</v>
      </c>
      <c r="F36" s="11">
        <v>3502.14</v>
      </c>
      <c r="G36" s="11">
        <v>8.73</v>
      </c>
      <c r="H36" s="11">
        <f t="shared" si="0"/>
        <v>3502.14</v>
      </c>
      <c r="I36" s="11">
        <v>0.56999999999999995</v>
      </c>
      <c r="J36" s="11">
        <f t="shared" si="1"/>
        <v>-8.16</v>
      </c>
    </row>
    <row r="37" spans="3:10" x14ac:dyDescent="0.3">
      <c r="C37" s="8">
        <v>22890</v>
      </c>
      <c r="D37" s="8" t="s">
        <v>5</v>
      </c>
      <c r="E37" s="8">
        <v>17</v>
      </c>
      <c r="F37" s="11">
        <v>175.99</v>
      </c>
      <c r="G37" s="11">
        <v>5.79</v>
      </c>
      <c r="H37" s="11">
        <f t="shared" si="0"/>
        <v>2991.83</v>
      </c>
      <c r="I37" s="11">
        <v>0.36</v>
      </c>
      <c r="J37" s="11">
        <f t="shared" si="1"/>
        <v>0.33000000000000007</v>
      </c>
    </row>
    <row r="38" spans="3:10" x14ac:dyDescent="0.3">
      <c r="C38" s="8">
        <v>25354</v>
      </c>
      <c r="D38" s="8" t="s">
        <v>5</v>
      </c>
      <c r="E38" s="8">
        <v>20</v>
      </c>
      <c r="F38" s="11">
        <v>155.06</v>
      </c>
      <c r="G38" s="11">
        <v>1.49</v>
      </c>
      <c r="H38" s="11">
        <f t="shared" si="0"/>
        <v>3101.2</v>
      </c>
      <c r="I38" s="11">
        <v>0.38</v>
      </c>
      <c r="J38" s="11">
        <f t="shared" si="1"/>
        <v>6.1099999999999994</v>
      </c>
    </row>
    <row r="39" spans="3:10" x14ac:dyDescent="0.3">
      <c r="C39" s="8">
        <v>21017</v>
      </c>
      <c r="D39" s="8" t="s">
        <v>6</v>
      </c>
      <c r="E39" s="8">
        <v>17</v>
      </c>
      <c r="F39" s="11">
        <v>5.98</v>
      </c>
      <c r="G39" s="11">
        <v>0.7</v>
      </c>
      <c r="H39" s="11">
        <f t="shared" si="0"/>
        <v>101.66000000000001</v>
      </c>
      <c r="I39" s="11">
        <v>0.56000000000000005</v>
      </c>
      <c r="J39" s="11">
        <f t="shared" si="1"/>
        <v>8.8200000000000021</v>
      </c>
    </row>
    <row r="40" spans="3:10" x14ac:dyDescent="0.3">
      <c r="C40" s="8">
        <v>21019</v>
      </c>
      <c r="D40" s="8" t="s">
        <v>6</v>
      </c>
      <c r="E40" s="8">
        <v>3</v>
      </c>
      <c r="F40" s="11">
        <v>29.14</v>
      </c>
      <c r="G40" s="11">
        <v>5.15</v>
      </c>
      <c r="H40" s="11">
        <f t="shared" si="0"/>
        <v>87.42</v>
      </c>
      <c r="I40" s="11">
        <v>0.36</v>
      </c>
      <c r="J40" s="11">
        <f t="shared" si="1"/>
        <v>-4.07</v>
      </c>
    </row>
    <row r="41" spans="3:10" x14ac:dyDescent="0.3">
      <c r="C41" s="8">
        <v>23274</v>
      </c>
      <c r="D41" s="8" t="s">
        <v>9</v>
      </c>
      <c r="E41" s="8">
        <v>17</v>
      </c>
      <c r="F41" s="11">
        <v>3.69</v>
      </c>
      <c r="G41" s="11">
        <v>4.8600000000000003</v>
      </c>
      <c r="H41" s="11">
        <f t="shared" si="0"/>
        <v>62.73</v>
      </c>
      <c r="I41" s="11">
        <v>0.38</v>
      </c>
      <c r="J41" s="11">
        <f t="shared" si="1"/>
        <v>1.5999999999999996</v>
      </c>
    </row>
    <row r="42" spans="3:10" x14ac:dyDescent="0.3">
      <c r="C42" s="10"/>
      <c r="D42" s="10"/>
      <c r="E42" s="10"/>
      <c r="F42" s="10"/>
      <c r="G42" s="10"/>
      <c r="H42" s="10"/>
      <c r="I42" s="10"/>
      <c r="J42" s="10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C03F2-6629-426F-8F18-50CEE13B1992}">
  <sheetPr codeName="Sheet4"/>
  <dimension ref="C8:J41"/>
  <sheetViews>
    <sheetView workbookViewId="0">
      <selection activeCell="C8" sqref="C8"/>
    </sheetView>
  </sheetViews>
  <sheetFormatPr defaultRowHeight="14.4" x14ac:dyDescent="0.3"/>
  <cols>
    <col min="4" max="4" width="12" bestFit="1" customWidth="1"/>
    <col min="5" max="5" width="18" bestFit="1" customWidth="1"/>
    <col min="6" max="6" width="9.21875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8" spans="3:10" x14ac:dyDescent="0.3">
      <c r="C8" s="9" t="s">
        <v>3</v>
      </c>
      <c r="D8" s="9" t="s">
        <v>4</v>
      </c>
      <c r="E8" s="9" t="s">
        <v>11</v>
      </c>
      <c r="F8" s="9" t="s">
        <v>12</v>
      </c>
      <c r="G8" s="9" t="s">
        <v>13</v>
      </c>
      <c r="H8" s="9" t="s">
        <v>14</v>
      </c>
      <c r="I8" s="9" t="s">
        <v>15</v>
      </c>
      <c r="J8" s="9" t="s">
        <v>10</v>
      </c>
    </row>
    <row r="9" spans="3:10" x14ac:dyDescent="0.3">
      <c r="C9" s="12">
        <v>20847</v>
      </c>
      <c r="D9" s="12" t="s">
        <v>5</v>
      </c>
      <c r="E9" s="12">
        <v>4</v>
      </c>
      <c r="F9" s="13">
        <v>2.84</v>
      </c>
      <c r="G9" s="13">
        <v>0.93</v>
      </c>
      <c r="H9" s="13">
        <f>$E9*$F9</f>
        <v>11.36</v>
      </c>
      <c r="I9" s="13">
        <v>0.54</v>
      </c>
      <c r="J9" s="13">
        <f>($E9*$I9)-$G9</f>
        <v>1.23</v>
      </c>
    </row>
    <row r="10" spans="3:10" x14ac:dyDescent="0.3">
      <c r="C10" s="8">
        <v>20228</v>
      </c>
      <c r="D10" s="8" t="s">
        <v>6</v>
      </c>
      <c r="E10" s="8">
        <v>12</v>
      </c>
      <c r="F10" s="11">
        <v>500.98</v>
      </c>
      <c r="G10" s="11">
        <v>26</v>
      </c>
      <c r="H10" s="11">
        <f t="shared" ref="H10:H41" si="0">$E10*$F10</f>
        <v>6011.76</v>
      </c>
      <c r="I10" s="11">
        <v>0.6</v>
      </c>
      <c r="J10" s="11">
        <f t="shared" ref="J10:J41" si="1">($E10*$I10)-$G10</f>
        <v>-18.8</v>
      </c>
    </row>
    <row r="11" spans="3:10" x14ac:dyDescent="0.3">
      <c r="C11" s="8">
        <v>21776</v>
      </c>
      <c r="D11" s="8" t="s">
        <v>7</v>
      </c>
      <c r="E11" s="8">
        <v>22</v>
      </c>
      <c r="F11" s="11">
        <v>9.48</v>
      </c>
      <c r="G11" s="11">
        <v>7.29</v>
      </c>
      <c r="H11" s="11">
        <f t="shared" si="0"/>
        <v>208.56</v>
      </c>
      <c r="I11" s="11">
        <v>0.45</v>
      </c>
      <c r="J11" s="11">
        <f t="shared" si="1"/>
        <v>2.6100000000000003</v>
      </c>
    </row>
    <row r="12" spans="3:10" x14ac:dyDescent="0.3">
      <c r="C12" s="8">
        <v>24844</v>
      </c>
      <c r="D12" s="8" t="s">
        <v>8</v>
      </c>
      <c r="E12" s="8">
        <v>16</v>
      </c>
      <c r="F12" s="11">
        <v>78.69</v>
      </c>
      <c r="G12" s="11">
        <v>19.989999999999998</v>
      </c>
      <c r="H12" s="11">
        <f t="shared" si="0"/>
        <v>1259.04</v>
      </c>
      <c r="I12" s="11">
        <v>0.43</v>
      </c>
      <c r="J12" s="11">
        <f t="shared" si="1"/>
        <v>-13.11</v>
      </c>
    </row>
    <row r="13" spans="3:10" x14ac:dyDescent="0.3">
      <c r="C13" s="8">
        <v>24846</v>
      </c>
      <c r="D13" s="8" t="s">
        <v>8</v>
      </c>
      <c r="E13" s="8">
        <v>7</v>
      </c>
      <c r="F13" s="11">
        <v>3.28</v>
      </c>
      <c r="G13" s="11">
        <v>2.31</v>
      </c>
      <c r="H13" s="11">
        <f t="shared" si="0"/>
        <v>22.959999999999997</v>
      </c>
      <c r="I13" s="11">
        <v>0.56000000000000005</v>
      </c>
      <c r="J13" s="11">
        <f t="shared" si="1"/>
        <v>1.6100000000000003</v>
      </c>
    </row>
    <row r="14" spans="3:10" x14ac:dyDescent="0.3">
      <c r="C14" s="8">
        <v>24847</v>
      </c>
      <c r="D14" s="8" t="s">
        <v>8</v>
      </c>
      <c r="E14" s="8">
        <v>4</v>
      </c>
      <c r="F14" s="11">
        <v>3.28</v>
      </c>
      <c r="G14" s="11">
        <v>4.2</v>
      </c>
      <c r="H14" s="11">
        <f t="shared" si="0"/>
        <v>13.12</v>
      </c>
      <c r="I14" s="11">
        <v>0.56000000000000005</v>
      </c>
      <c r="J14" s="11">
        <f t="shared" si="1"/>
        <v>-1.96</v>
      </c>
    </row>
    <row r="15" spans="3:10" x14ac:dyDescent="0.3">
      <c r="C15" s="8">
        <v>24848</v>
      </c>
      <c r="D15" s="8" t="s">
        <v>8</v>
      </c>
      <c r="E15" s="8">
        <v>4</v>
      </c>
      <c r="F15" s="11">
        <v>3.58</v>
      </c>
      <c r="G15" s="11">
        <v>1.63</v>
      </c>
      <c r="H15" s="11">
        <f t="shared" si="0"/>
        <v>14.32</v>
      </c>
      <c r="I15" s="11">
        <v>0.36</v>
      </c>
      <c r="J15" s="11">
        <f t="shared" si="1"/>
        <v>-0.18999999999999995</v>
      </c>
    </row>
    <row r="16" spans="3:10" x14ac:dyDescent="0.3">
      <c r="C16" s="8">
        <v>18181</v>
      </c>
      <c r="D16" s="8" t="s">
        <v>7</v>
      </c>
      <c r="E16" s="8">
        <v>7</v>
      </c>
      <c r="F16" s="11">
        <v>4.42</v>
      </c>
      <c r="G16" s="11">
        <v>4.99</v>
      </c>
      <c r="H16" s="11">
        <f t="shared" si="0"/>
        <v>30.939999999999998</v>
      </c>
      <c r="I16" s="11">
        <v>0.38</v>
      </c>
      <c r="J16" s="11">
        <f t="shared" si="1"/>
        <v>-2.33</v>
      </c>
    </row>
    <row r="17" spans="3:10" x14ac:dyDescent="0.3">
      <c r="C17" s="8">
        <v>20925</v>
      </c>
      <c r="D17" s="8" t="s">
        <v>8</v>
      </c>
      <c r="E17" s="8">
        <v>10</v>
      </c>
      <c r="F17" s="11">
        <v>35.94</v>
      </c>
      <c r="G17" s="11">
        <v>6.66</v>
      </c>
      <c r="H17" s="11">
        <f t="shared" si="0"/>
        <v>359.4</v>
      </c>
      <c r="I17" s="11">
        <v>0.4</v>
      </c>
      <c r="J17" s="11">
        <f t="shared" si="1"/>
        <v>-2.66</v>
      </c>
    </row>
    <row r="18" spans="3:10" x14ac:dyDescent="0.3">
      <c r="C18" s="8">
        <v>26267</v>
      </c>
      <c r="D18" s="8" t="s">
        <v>5</v>
      </c>
      <c r="E18" s="8">
        <v>6</v>
      </c>
      <c r="F18" s="11">
        <v>2.98</v>
      </c>
      <c r="G18" s="11">
        <v>1.58</v>
      </c>
      <c r="H18" s="11">
        <f t="shared" si="0"/>
        <v>17.88</v>
      </c>
      <c r="I18" s="11">
        <v>0.39</v>
      </c>
      <c r="J18" s="11">
        <f t="shared" si="1"/>
        <v>0.75999999999999979</v>
      </c>
    </row>
    <row r="19" spans="3:10" x14ac:dyDescent="0.3">
      <c r="C19" s="8">
        <v>26268</v>
      </c>
      <c r="D19" s="8" t="s">
        <v>5</v>
      </c>
      <c r="E19" s="8">
        <v>10</v>
      </c>
      <c r="F19" s="11">
        <v>115.99</v>
      </c>
      <c r="G19" s="11">
        <v>2.5</v>
      </c>
      <c r="H19" s="11">
        <f t="shared" si="0"/>
        <v>1159.8999999999999</v>
      </c>
      <c r="I19" s="11">
        <v>0.55000000000000004</v>
      </c>
      <c r="J19" s="11">
        <f t="shared" si="1"/>
        <v>3</v>
      </c>
    </row>
    <row r="20" spans="3:10" x14ac:dyDescent="0.3">
      <c r="C20" s="8">
        <v>23890</v>
      </c>
      <c r="D20" s="8" t="s">
        <v>5</v>
      </c>
      <c r="E20" s="8">
        <v>17</v>
      </c>
      <c r="F20" s="11">
        <v>26.48</v>
      </c>
      <c r="G20" s="11">
        <v>6.93</v>
      </c>
      <c r="H20" s="11">
        <f t="shared" si="0"/>
        <v>450.16</v>
      </c>
      <c r="I20" s="11">
        <v>0.49</v>
      </c>
      <c r="J20" s="11">
        <f t="shared" si="1"/>
        <v>1.4000000000000004</v>
      </c>
    </row>
    <row r="21" spans="3:10" x14ac:dyDescent="0.3">
      <c r="C21" s="8">
        <v>24063</v>
      </c>
      <c r="D21" s="8" t="s">
        <v>6</v>
      </c>
      <c r="E21" s="8">
        <v>18</v>
      </c>
      <c r="F21" s="11">
        <v>12.99</v>
      </c>
      <c r="G21" s="11">
        <v>9.44</v>
      </c>
      <c r="H21" s="11">
        <f t="shared" si="0"/>
        <v>233.82</v>
      </c>
      <c r="I21" s="11">
        <v>0.39</v>
      </c>
      <c r="J21" s="11">
        <f t="shared" si="1"/>
        <v>-2.419999999999999</v>
      </c>
    </row>
    <row r="22" spans="3:10" x14ac:dyDescent="0.3">
      <c r="C22" s="8">
        <v>5890</v>
      </c>
      <c r="D22" s="8" t="s">
        <v>5</v>
      </c>
      <c r="E22" s="8">
        <v>70</v>
      </c>
      <c r="F22" s="11">
        <v>26.48</v>
      </c>
      <c r="G22" s="11">
        <v>6.93</v>
      </c>
      <c r="H22" s="11">
        <f t="shared" si="0"/>
        <v>1853.6000000000001</v>
      </c>
      <c r="I22" s="11">
        <v>0.49</v>
      </c>
      <c r="J22" s="11">
        <f t="shared" si="1"/>
        <v>27.369999999999997</v>
      </c>
    </row>
    <row r="23" spans="3:10" x14ac:dyDescent="0.3">
      <c r="C23" s="8">
        <v>6062</v>
      </c>
      <c r="D23" s="8" t="s">
        <v>6</v>
      </c>
      <c r="E23" s="8">
        <v>58</v>
      </c>
      <c r="F23" s="11">
        <v>5</v>
      </c>
      <c r="G23" s="11">
        <v>3.39</v>
      </c>
      <c r="H23" s="11">
        <f t="shared" si="0"/>
        <v>290</v>
      </c>
      <c r="I23" s="11">
        <v>0.37</v>
      </c>
      <c r="J23" s="11">
        <f t="shared" si="1"/>
        <v>18.07</v>
      </c>
    </row>
    <row r="24" spans="3:10" x14ac:dyDescent="0.3">
      <c r="C24" s="8">
        <v>6063</v>
      </c>
      <c r="D24" s="8" t="s">
        <v>6</v>
      </c>
      <c r="E24" s="8">
        <v>71</v>
      </c>
      <c r="F24" s="11">
        <v>12.99</v>
      </c>
      <c r="G24" s="11">
        <v>9.44</v>
      </c>
      <c r="H24" s="11">
        <f t="shared" si="0"/>
        <v>922.29</v>
      </c>
      <c r="I24" s="11">
        <v>0.39</v>
      </c>
      <c r="J24" s="11">
        <f t="shared" si="1"/>
        <v>18.25</v>
      </c>
    </row>
    <row r="25" spans="3:10" x14ac:dyDescent="0.3">
      <c r="C25" s="8">
        <v>20631</v>
      </c>
      <c r="D25" s="8" t="s">
        <v>5</v>
      </c>
      <c r="E25" s="8">
        <v>1</v>
      </c>
      <c r="F25" s="11">
        <v>55.48</v>
      </c>
      <c r="G25" s="11">
        <v>14.3</v>
      </c>
      <c r="H25" s="11">
        <f t="shared" si="0"/>
        <v>55.48</v>
      </c>
      <c r="I25" s="11">
        <v>0.37</v>
      </c>
      <c r="J25" s="11">
        <f t="shared" si="1"/>
        <v>-13.930000000000001</v>
      </c>
    </row>
    <row r="26" spans="3:10" x14ac:dyDescent="0.3">
      <c r="C26" s="8">
        <v>20632</v>
      </c>
      <c r="D26" s="8" t="s">
        <v>5</v>
      </c>
      <c r="E26" s="8">
        <v>1</v>
      </c>
      <c r="F26" s="11">
        <v>1.68</v>
      </c>
      <c r="G26" s="11">
        <v>1.57</v>
      </c>
      <c r="H26" s="11">
        <f t="shared" si="0"/>
        <v>1.68</v>
      </c>
      <c r="I26" s="11">
        <v>0.59</v>
      </c>
      <c r="J26" s="11">
        <f t="shared" si="1"/>
        <v>-0.98000000000000009</v>
      </c>
    </row>
    <row r="27" spans="3:10" x14ac:dyDescent="0.3">
      <c r="C27" s="8">
        <v>23967</v>
      </c>
      <c r="D27" s="8" t="s">
        <v>6</v>
      </c>
      <c r="E27" s="8">
        <v>12</v>
      </c>
      <c r="F27" s="11">
        <v>4.1399999999999997</v>
      </c>
      <c r="G27" s="11">
        <v>6.6</v>
      </c>
      <c r="H27" s="11">
        <f t="shared" si="0"/>
        <v>49.679999999999993</v>
      </c>
      <c r="I27" s="11">
        <v>0.49</v>
      </c>
      <c r="J27" s="11">
        <f t="shared" si="1"/>
        <v>-0.71999999999999975</v>
      </c>
    </row>
    <row r="28" spans="3:10" x14ac:dyDescent="0.3">
      <c r="C28" s="8">
        <v>23509</v>
      </c>
      <c r="D28" s="8" t="s">
        <v>5</v>
      </c>
      <c r="E28" s="8">
        <v>13</v>
      </c>
      <c r="F28" s="11">
        <v>34.99</v>
      </c>
      <c r="G28" s="11">
        <v>7.73</v>
      </c>
      <c r="H28" s="11">
        <f t="shared" si="0"/>
        <v>454.87</v>
      </c>
      <c r="I28" s="11">
        <v>0.59</v>
      </c>
      <c r="J28" s="11">
        <f t="shared" si="1"/>
        <v>-6.0000000000000497E-2</v>
      </c>
    </row>
    <row r="29" spans="3:10" x14ac:dyDescent="0.3">
      <c r="C29" s="8">
        <v>23612</v>
      </c>
      <c r="D29" s="8" t="s">
        <v>5</v>
      </c>
      <c r="E29" s="8">
        <v>2</v>
      </c>
      <c r="F29" s="11">
        <v>17.98</v>
      </c>
      <c r="G29" s="11">
        <v>8.51</v>
      </c>
      <c r="H29" s="11">
        <f t="shared" si="0"/>
        <v>35.96</v>
      </c>
      <c r="I29" s="11">
        <v>0.4</v>
      </c>
      <c r="J29" s="11">
        <f t="shared" si="1"/>
        <v>-7.71</v>
      </c>
    </row>
    <row r="30" spans="3:10" x14ac:dyDescent="0.3">
      <c r="C30" s="8">
        <v>23278</v>
      </c>
      <c r="D30" s="8" t="s">
        <v>8</v>
      </c>
      <c r="E30" s="8">
        <v>8</v>
      </c>
      <c r="F30" s="11">
        <v>125.99</v>
      </c>
      <c r="G30" s="11">
        <v>7.69</v>
      </c>
      <c r="H30" s="11">
        <f t="shared" si="0"/>
        <v>1007.92</v>
      </c>
      <c r="I30" s="11">
        <v>0.59</v>
      </c>
      <c r="J30" s="11">
        <f t="shared" si="1"/>
        <v>-2.9700000000000006</v>
      </c>
    </row>
    <row r="31" spans="3:10" x14ac:dyDescent="0.3">
      <c r="C31" s="8">
        <v>19355</v>
      </c>
      <c r="D31" s="8" t="s">
        <v>9</v>
      </c>
      <c r="E31" s="8">
        <v>22</v>
      </c>
      <c r="F31" s="11">
        <v>205.99</v>
      </c>
      <c r="G31" s="11">
        <v>8.99</v>
      </c>
      <c r="H31" s="11">
        <f t="shared" si="0"/>
        <v>4531.7800000000007</v>
      </c>
      <c r="I31" s="11">
        <v>0.56000000000000005</v>
      </c>
      <c r="J31" s="11">
        <f t="shared" si="1"/>
        <v>3.33</v>
      </c>
    </row>
    <row r="32" spans="3:10" x14ac:dyDescent="0.3">
      <c r="C32" s="8">
        <v>23654</v>
      </c>
      <c r="D32" s="8" t="s">
        <v>6</v>
      </c>
      <c r="E32" s="8">
        <v>13</v>
      </c>
      <c r="F32" s="11">
        <v>4.24</v>
      </c>
      <c r="G32" s="11">
        <v>5.41</v>
      </c>
      <c r="H32" s="11">
        <f t="shared" si="0"/>
        <v>55.120000000000005</v>
      </c>
      <c r="I32" s="11">
        <v>0.35</v>
      </c>
      <c r="J32" s="11">
        <f t="shared" si="1"/>
        <v>-0.86000000000000032</v>
      </c>
    </row>
    <row r="33" spans="3:10" x14ac:dyDescent="0.3">
      <c r="C33" s="8">
        <v>23655</v>
      </c>
      <c r="D33" s="8" t="s">
        <v>6</v>
      </c>
      <c r="E33" s="8">
        <v>18</v>
      </c>
      <c r="F33" s="11">
        <v>2.94</v>
      </c>
      <c r="G33" s="11">
        <v>0.7</v>
      </c>
      <c r="H33" s="11">
        <f t="shared" si="0"/>
        <v>52.92</v>
      </c>
      <c r="I33" s="11">
        <v>0.57999999999999996</v>
      </c>
      <c r="J33" s="11">
        <f t="shared" si="1"/>
        <v>9.74</v>
      </c>
    </row>
    <row r="34" spans="3:10" x14ac:dyDescent="0.3">
      <c r="C34" s="8">
        <v>25933</v>
      </c>
      <c r="D34" s="8" t="s">
        <v>5</v>
      </c>
      <c r="E34" s="8">
        <v>6</v>
      </c>
      <c r="F34" s="11">
        <v>99.99</v>
      </c>
      <c r="G34" s="11">
        <v>19.989999999999998</v>
      </c>
      <c r="H34" s="11">
        <f t="shared" si="0"/>
        <v>599.93999999999994</v>
      </c>
      <c r="I34" s="11">
        <v>0.52</v>
      </c>
      <c r="J34" s="11">
        <f t="shared" si="1"/>
        <v>-16.869999999999997</v>
      </c>
    </row>
    <row r="35" spans="3:10" x14ac:dyDescent="0.3">
      <c r="C35" s="8">
        <v>20697</v>
      </c>
      <c r="D35" s="8" t="s">
        <v>8</v>
      </c>
      <c r="E35" s="8">
        <v>6</v>
      </c>
      <c r="F35" s="11">
        <v>115.99</v>
      </c>
      <c r="G35" s="11">
        <v>2.5</v>
      </c>
      <c r="H35" s="11">
        <f t="shared" si="0"/>
        <v>695.93999999999994</v>
      </c>
      <c r="I35" s="11">
        <v>0.56999999999999995</v>
      </c>
      <c r="J35" s="11">
        <f t="shared" si="1"/>
        <v>0.91999999999999993</v>
      </c>
    </row>
    <row r="36" spans="3:10" x14ac:dyDescent="0.3">
      <c r="C36" s="8">
        <v>20698</v>
      </c>
      <c r="D36" s="8" t="s">
        <v>8</v>
      </c>
      <c r="E36" s="8">
        <v>1</v>
      </c>
      <c r="F36" s="11">
        <v>3502.14</v>
      </c>
      <c r="G36" s="11">
        <v>8.73</v>
      </c>
      <c r="H36" s="11">
        <f t="shared" si="0"/>
        <v>3502.14</v>
      </c>
      <c r="I36" s="11">
        <v>0.56999999999999995</v>
      </c>
      <c r="J36" s="11">
        <f t="shared" si="1"/>
        <v>-8.16</v>
      </c>
    </row>
    <row r="37" spans="3:10" x14ac:dyDescent="0.3">
      <c r="C37" s="8">
        <v>22890</v>
      </c>
      <c r="D37" s="8" t="s">
        <v>5</v>
      </c>
      <c r="E37" s="8">
        <v>17</v>
      </c>
      <c r="F37" s="11">
        <v>175.99</v>
      </c>
      <c r="G37" s="11">
        <v>5.79</v>
      </c>
      <c r="H37" s="11">
        <f t="shared" si="0"/>
        <v>2991.83</v>
      </c>
      <c r="I37" s="11">
        <v>0.36</v>
      </c>
      <c r="J37" s="11">
        <f t="shared" si="1"/>
        <v>0.33000000000000007</v>
      </c>
    </row>
    <row r="38" spans="3:10" x14ac:dyDescent="0.3">
      <c r="C38" s="8">
        <v>25354</v>
      </c>
      <c r="D38" s="8" t="s">
        <v>5</v>
      </c>
      <c r="E38" s="8">
        <v>20</v>
      </c>
      <c r="F38" s="11">
        <v>155.06</v>
      </c>
      <c r="G38" s="11">
        <v>1.49</v>
      </c>
      <c r="H38" s="11">
        <f t="shared" si="0"/>
        <v>3101.2</v>
      </c>
      <c r="I38" s="11">
        <v>0.38</v>
      </c>
      <c r="J38" s="11">
        <f t="shared" si="1"/>
        <v>6.1099999999999994</v>
      </c>
    </row>
    <row r="39" spans="3:10" x14ac:dyDescent="0.3">
      <c r="C39" s="8">
        <v>21017</v>
      </c>
      <c r="D39" s="8" t="s">
        <v>6</v>
      </c>
      <c r="E39" s="8">
        <v>17</v>
      </c>
      <c r="F39" s="11">
        <v>5.98</v>
      </c>
      <c r="G39" s="11">
        <v>0.7</v>
      </c>
      <c r="H39" s="11">
        <f t="shared" si="0"/>
        <v>101.66000000000001</v>
      </c>
      <c r="I39" s="11">
        <v>0.56000000000000005</v>
      </c>
      <c r="J39" s="11">
        <f t="shared" si="1"/>
        <v>8.8200000000000021</v>
      </c>
    </row>
    <row r="40" spans="3:10" x14ac:dyDescent="0.3">
      <c r="C40" s="8">
        <v>21019</v>
      </c>
      <c r="D40" s="8" t="s">
        <v>6</v>
      </c>
      <c r="E40" s="8">
        <v>3</v>
      </c>
      <c r="F40" s="11">
        <v>29.14</v>
      </c>
      <c r="G40" s="11">
        <v>5.15</v>
      </c>
      <c r="H40" s="11">
        <f t="shared" si="0"/>
        <v>87.42</v>
      </c>
      <c r="I40" s="11">
        <v>0.36</v>
      </c>
      <c r="J40" s="11">
        <f t="shared" si="1"/>
        <v>-4.07</v>
      </c>
    </row>
    <row r="41" spans="3:10" x14ac:dyDescent="0.3">
      <c r="C41" s="8">
        <v>23274</v>
      </c>
      <c r="D41" s="8" t="s">
        <v>9</v>
      </c>
      <c r="E41" s="8">
        <v>17</v>
      </c>
      <c r="F41" s="11">
        <v>3.69</v>
      </c>
      <c r="G41" s="11">
        <v>4.8600000000000003</v>
      </c>
      <c r="H41" s="11">
        <f t="shared" si="0"/>
        <v>62.73</v>
      </c>
      <c r="I41" s="11">
        <v>0.38</v>
      </c>
      <c r="J41" s="11">
        <f t="shared" si="1"/>
        <v>1.5999999999999996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1"/>
  <dimension ref="C3:D22"/>
  <sheetViews>
    <sheetView showGridLines="0" tabSelected="1" topLeftCell="A7" workbookViewId="0">
      <selection activeCell="F17" sqref="F17"/>
    </sheetView>
  </sheetViews>
  <sheetFormatPr defaultRowHeight="14.4" x14ac:dyDescent="0.3"/>
  <cols>
    <col min="3" max="3" width="23.5546875" customWidth="1"/>
    <col min="4" max="4" width="36.109375" customWidth="1"/>
  </cols>
  <sheetData>
    <row r="3" spans="3:4" x14ac:dyDescent="0.3">
      <c r="C3" s="1" t="s">
        <v>2</v>
      </c>
    </row>
    <row r="4" spans="3:4" x14ac:dyDescent="0.3">
      <c r="C4" s="1" t="s">
        <v>20</v>
      </c>
    </row>
    <row r="12" spans="3:4" ht="21" x14ac:dyDescent="0.3">
      <c r="C12" s="4" t="s">
        <v>21</v>
      </c>
      <c r="D12" s="2"/>
    </row>
    <row r="13" spans="3:4" ht="21" x14ac:dyDescent="0.3">
      <c r="C13" s="3"/>
      <c r="D13" s="3"/>
    </row>
    <row r="14" spans="3:4" ht="21" x14ac:dyDescent="0.3">
      <c r="C14" s="4" t="s">
        <v>22</v>
      </c>
      <c r="D14" s="5"/>
    </row>
    <row r="15" spans="3:4" ht="21" x14ac:dyDescent="0.3">
      <c r="C15" s="3"/>
      <c r="D15" s="3"/>
    </row>
    <row r="16" spans="3:4" ht="21" x14ac:dyDescent="0.3">
      <c r="C16" s="4" t="s">
        <v>23</v>
      </c>
      <c r="D16" s="2"/>
    </row>
    <row r="17" spans="3:4" ht="21" x14ac:dyDescent="0.3">
      <c r="C17" s="3"/>
      <c r="D17" s="3"/>
    </row>
    <row r="18" spans="3:4" ht="21" x14ac:dyDescent="0.3">
      <c r="C18" s="4" t="s">
        <v>24</v>
      </c>
      <c r="D18" s="2"/>
    </row>
    <row r="19" spans="3:4" ht="21" x14ac:dyDescent="0.3">
      <c r="C19" s="3"/>
      <c r="D19" s="3"/>
    </row>
    <row r="20" spans="3:4" ht="21" x14ac:dyDescent="0.3">
      <c r="C20" s="4" t="s">
        <v>25</v>
      </c>
      <c r="D20" s="6"/>
    </row>
    <row r="21" spans="3:4" ht="21" x14ac:dyDescent="0.3">
      <c r="C21" s="3"/>
      <c r="D21" s="3"/>
    </row>
    <row r="22" spans="3:4" ht="21" x14ac:dyDescent="0.3">
      <c r="C22" s="4" t="s">
        <v>26</v>
      </c>
      <c r="D22" s="2"/>
    </row>
  </sheetData>
  <dataValidations count="2">
    <dataValidation type="list" allowBlank="1" showInputMessage="1" showErrorMessage="1" prompt="Choose the position in the list" sqref="D22" xr:uid="{AA5EF615-4EE6-4A79-82F1-F7CD9F2B123C}">
      <formula1>"Trainee, Software Engineer, Sr. Software Engineer, Technical Lead, Sr. Technical Lead, Assistant Manager, Manager"</formula1>
    </dataValidation>
    <dataValidation type="whole" allowBlank="1" showInputMessage="1" showErrorMessage="1" errorTitle="Enter 10 digits" error="Reenter the number" promptTitle="Mobile No/ WhatsApp No" prompt="Enter 10 digit Mobile no" sqref="D18" xr:uid="{F83BD1F9-886A-4FFD-94E7-64980D171A70}">
      <formula1>1000000000</formula1>
      <formula2>9999999999</formula2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92D10-06C0-4C12-8098-52306DF01889}">
  <sheetPr codeName="Sheet3"/>
  <dimension ref="A1:F6"/>
  <sheetViews>
    <sheetView workbookViewId="0">
      <selection activeCell="A26" sqref="A26"/>
    </sheetView>
  </sheetViews>
  <sheetFormatPr defaultRowHeight="14.4" x14ac:dyDescent="0.3"/>
  <cols>
    <col min="1" max="1" width="27.21875" customWidth="1"/>
    <col min="2" max="2" width="23.109375" customWidth="1"/>
    <col min="3" max="3" width="17.109375" customWidth="1"/>
    <col min="4" max="4" width="18.88671875" customWidth="1"/>
    <col min="5" max="5" width="32.6640625" customWidth="1"/>
    <col min="6" max="6" width="27.44140625" bestFit="1" customWidth="1"/>
  </cols>
  <sheetData>
    <row r="1" spans="1:6" ht="21" x14ac:dyDescent="0.3">
      <c r="A1" s="7" t="s">
        <v>21</v>
      </c>
      <c r="B1" s="7" t="s">
        <v>22</v>
      </c>
      <c r="C1" s="7" t="s">
        <v>23</v>
      </c>
      <c r="D1" s="7" t="s">
        <v>24</v>
      </c>
      <c r="E1" s="7" t="s">
        <v>25</v>
      </c>
      <c r="F1" s="7" t="s">
        <v>26</v>
      </c>
    </row>
    <row r="2" spans="1:6" ht="21" x14ac:dyDescent="0.3">
      <c r="A2" s="2" t="s">
        <v>27</v>
      </c>
      <c r="B2" s="5">
        <v>36790</v>
      </c>
      <c r="C2" s="2" t="s">
        <v>33</v>
      </c>
      <c r="D2" s="2">
        <v>1234567890</v>
      </c>
      <c r="E2" s="6" t="s">
        <v>30</v>
      </c>
      <c r="F2" s="2" t="s">
        <v>28</v>
      </c>
    </row>
    <row r="3" spans="1:6" ht="21" x14ac:dyDescent="0.3">
      <c r="A3" s="2" t="s">
        <v>32</v>
      </c>
      <c r="B3" s="5">
        <v>36185</v>
      </c>
      <c r="C3" s="2" t="s">
        <v>29</v>
      </c>
      <c r="D3" s="2">
        <v>9876543210</v>
      </c>
      <c r="E3" s="6" t="s">
        <v>34</v>
      </c>
      <c r="F3" s="2" t="s">
        <v>31</v>
      </c>
    </row>
    <row r="4" spans="1:6" ht="21" x14ac:dyDescent="0.3">
      <c r="A4" s="2" t="s">
        <v>35</v>
      </c>
      <c r="B4" s="5">
        <v>36161</v>
      </c>
      <c r="C4" s="2" t="s">
        <v>36</v>
      </c>
      <c r="D4" s="2">
        <v>9876543021</v>
      </c>
      <c r="E4" s="6" t="s">
        <v>37</v>
      </c>
      <c r="F4" s="2" t="s">
        <v>38</v>
      </c>
    </row>
    <row r="5" spans="1:6" ht="21" x14ac:dyDescent="0.3">
      <c r="A5" s="2" t="s">
        <v>39</v>
      </c>
      <c r="B5" s="5">
        <v>36526</v>
      </c>
      <c r="C5" s="2" t="s">
        <v>36</v>
      </c>
      <c r="D5" s="2">
        <v>2345678323</v>
      </c>
      <c r="E5" s="6" t="s">
        <v>34</v>
      </c>
      <c r="F5" s="2" t="s">
        <v>31</v>
      </c>
    </row>
    <row r="6" spans="1:6" ht="21" x14ac:dyDescent="0.3">
      <c r="A6" s="2" t="s">
        <v>40</v>
      </c>
      <c r="B6" s="5">
        <v>35765</v>
      </c>
      <c r="C6" s="2" t="s">
        <v>33</v>
      </c>
      <c r="D6" s="2">
        <v>1234567890</v>
      </c>
      <c r="E6" s="6" t="s">
        <v>41</v>
      </c>
      <c r="F6" s="2" t="s">
        <v>42</v>
      </c>
    </row>
  </sheetData>
  <dataValidations count="2">
    <dataValidation allowBlank="1" sqref="F1:F1048576" xr:uid="{C50334A2-84AC-4532-BEB7-C68AC6A092A9}"/>
    <dataValidation type="whole" allowBlank="1" errorTitle="Enter 10 digits" error="Reenter the number" promptTitle="Mobile No/ WhatsApp No" prompt="Enter 10 digit Mobile no" sqref="D1:D1048576" xr:uid="{57892259-BC7A-466F-97D6-05CAE0E67493}">
      <formula1>1000000000</formula1>
      <formula2>9999999999</formula2>
    </dataValidation>
  </dataValidations>
  <hyperlinks>
    <hyperlink ref="E2" r:id="rId1" xr:uid="{BFB5B8FA-0B85-4289-8574-7457DF49D792}"/>
    <hyperlink ref="E3" r:id="rId2" xr:uid="{2BFA308B-A8D9-42F3-A854-F4C03ACBDE6B}"/>
    <hyperlink ref="E4" r:id="rId3" xr:uid="{8892E13E-5E0C-46E9-B106-271AAC91FE00}"/>
    <hyperlink ref="E5" r:id="rId4" xr:uid="{8F13C5CB-7B88-4C15-8DA1-6EA830C4BBC7}"/>
    <hyperlink ref="E6" r:id="rId5" xr:uid="{3860E4C5-EF30-4851-9029-C0E48BA48721}"/>
  </hyperlinks>
  <pageMargins left="0.7" right="0.7" top="0.75" bottom="0.75" header="0.3" footer="0.3"/>
  <pageSetup orientation="portrait"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Macro</vt:lpstr>
      <vt:lpstr>2</vt:lpstr>
      <vt:lpstr>NewJoineeDetails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Dinesh Kumar</cp:lastModifiedBy>
  <dcterms:created xsi:type="dcterms:W3CDTF">2015-06-05T18:17:20Z</dcterms:created>
  <dcterms:modified xsi:type="dcterms:W3CDTF">2023-08-19T11:57:41Z</dcterms:modified>
</cp:coreProperties>
</file>